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" sheetId="1" state="visible" r:id="rId1"/>
    <sheet xmlns:r="http://schemas.openxmlformats.org/officeDocument/2006/relationships" name="Hidden assumptions" sheetId="2" state="veryHidden" r:id="rId2"/>
    <sheet xmlns:r="http://schemas.openxmlformats.org/officeDocument/2006/relationships" name="Formula cases" sheetId="3" state="visible" r:id="rId3"/>
    <sheet xmlns:r="http://schemas.openxmlformats.org/officeDocument/2006/relationships" name="Date cases" sheetId="4" state="visible" r:id="rId4"/>
    <sheet xmlns:r="http://schemas.openxmlformats.org/officeDocument/2006/relationships" name="DCF" sheetId="5" state="visible" r:id="rId5"/>
    <sheet xmlns:r="http://schemas.openxmlformats.org/officeDocument/2006/relationships" name="SOTP" sheetId="6" state="visible" r:id="rId6"/>
    <sheet xmlns:r="http://schemas.openxmlformats.org/officeDocument/2006/relationships" name="Sensitivity" sheetId="7" state="visible" r:id="rId7"/>
  </sheets>
  <definedNames>
    <definedName name="Primary_Target_Price">'Valuation'!$B$7</definedName>
    <definedName name="Input_Growth">'Hidden assumptions'!$B$1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&quot;CNY/share&quot; 0.00"/>
    <numFmt numFmtId="167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E12"/>
  <ns0:sheetViews>
    <ns0:sheetView workbookViewId="0">
      <ns0:pane xSplit="1" ySplit="1" topLeftCell="B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hidden="1" width="13" customWidth="1" min="6" max="6"/>
  </ns0:cols>
  <ns0:sheetData>
    <ns0:row r="1">
      <ns0:c r="A1" t="inlineStr">
        <ns0:is>
          <ns0:t>Valuation Date</ns0:t>
        </ns0:is>
      </ns0:c>
      <ns0:c r="B1" s="1" t="n">
        <ns0:v>46265</ns0:v>
      </ns0:c>
    </ns0:row>
    <ns0:row r="3">
      <ns0:c r="A3" t="inlineStr">
        <ns0:is>
          <ns0:t>Revenue segment A</ns0:t>
        </ns0:is>
      </ns0:c>
      <ns0:c r="B3" t="n">
        <ns0:v>500</ns0:v>
      </ns0:c>
      <ns0:c r="D3" t="inlineStr">
        <ns0:is>
          <ns0:t>Merged annotation</ns0:t>
        </ns0:is>
      </ns0:c>
    </ns0:row>
    <ns0:row r="4">
      <ns0:c r="A4" t="inlineStr">
        <ns0:is>
          <ns0:t>Revenue segment B</ns0:t>
        </ns0:is>
      </ns0:c>
      <ns0:c r="B4" t="n">
        <ns0:v>700</ns0:v>
      </ns0:c>
    </ns0:row>
    <ns0:row r="5">
      <ns0:c r="A5" t="inlineStr">
        <ns0:is>
          <ns0:t>Revenue</ns0:t>
        </ns0:is>
      </ns0:c>
      <ns0:c r="B5">
        <ns0:f>SUM(B3:B4)</ns0:f>
        <ns0:v>1200</ns0:v>
      </ns0:c>
    </ns0:row>
    <ns0:row r="6">
      <ns0:c r="A6" t="inlineStr">
        <ns0:is>
          <ns0:t>Current Price</ns0:t>
        </ns0:is>
      </ns0:c>
      <ns0:c r="B6" t="n">
        <ns0:v>100</ns0:v>
      </ns0:c>
    </ns0:row>
    <ns0:row r="7">
      <ns0:c r="A7" t="inlineStr">
        <ns0:is>
          <ns0:t>Target Price</ns0:t>
        </ns0:is>
      </ns0:c>
      <ns0:c r="B7" s="2">
        <ns0:f>B5/10</ns0:f>
        <ns0:v>120</ns0:v>
      </ns0:c>
    </ns0:row>
    <ns0:row r="8">
      <ns0:c r="A8" t="inlineStr">
        <ns0:is>
          <ns0:t>Upside</ns0:t>
        </ns0:is>
      </ns0:c>
      <ns0:c r="B8" s="3">
        <ns0:f>B7/B6-1</ns0:f>
        <ns0:v>0.2</ns0:v>
      </ns0:c>
    </ns0:row>
    <ns0:row r="10">
      <ns0:c r="A10" t="inlineStr">
        <ns0:is>
          <ns0:t>Long original note: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ns0:t>
        </ns0:is>
      </ns0:c>
    </ns0:row>
    <ns0:row r="11" hidden="1"/>
    <ns0:row r="12">
      <ns0:c r="D12" t="inlineStr">
        <ns0:is>
          <ns0:t>Window edge</ns0:t>
        </ns0:is>
      </ns0:c>
    </ns0:row>
  </ns0:sheetData>
  <ns0:mergeCells count="1">
    <ns0:mergeCell ref="D3:E3"/>
  </ns0:mergeCells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Hidden source</t>
        </is>
      </c>
      <c r="B1" t="n">
        <v>2</v>
      </c>
    </row>
    <row r="2">
      <c r="B2">
        <f>Valuation!B3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n">
        <v>3</v>
      </c>
      <c r="B1">
        <f t="array" ref="B1:B2">A1:A2*2</f>
        <v/>
      </c>
      <c r="C1">
        <f t="dataTable" ref="C1:D2" r1="A1"/>
        <v/>
      </c>
      <c r="E1">
        <f>A99</f>
        <v/>
      </c>
      <c r="F1">
        <f>G1</f>
        <v/>
      </c>
      <c r="G1">
        <f>F1</f>
        <v/>
      </c>
      <c r="H1">
        <f>'[missing.xlsx]Sheet1'!A1</f>
        <v/>
      </c>
      <c r="I1">
        <f>SUM(A:A)</f>
        <v/>
      </c>
      <c r="J1">
        <f>SUM(Valuation:Formula cases!A1)</f>
        <v/>
      </c>
      <c r="K1" t="e">
        <v>#REF!</v>
      </c>
    </row>
    <row r="2">
      <c r="A2">
        <f>Input_Growth*A1</f>
        <v/>
      </c>
    </row>
    <row r="3">
      <c r="A3">
        <f>SUM(Valuation!B3:B4)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date</t>
        </is>
      </c>
      <c r="B1" t="inlineStr">
        <is>
          <t>Not confirmed 2026-09-01</t>
        </is>
      </c>
    </row>
    <row r="2">
      <c r="A2" t="inlineStr">
        <is>
          <t>Market price date</t>
        </is>
      </c>
      <c r="B2" s="4" t="n">
        <v>46264</v>
      </c>
    </row>
    <row r="3">
      <c r="A3" t="inlineStr">
        <is>
          <t>Forecast</t>
        </is>
      </c>
      <c r="B3" t="inlineStr">
        <is>
          <t>2030E</t>
        </is>
      </c>
    </row>
    <row r="4">
      <c r="A4" t="inlineStr">
        <is>
          <t>Valuation date</t>
        </is>
      </c>
      <c r="B4" t="inlineStr">
        <is>
          <t>not 2026-10-31</t>
        </is>
      </c>
    </row>
    <row r="5">
      <c r="A5" t="inlineStr">
        <is>
          <t>Valuation date</t>
        </is>
      </c>
      <c r="B5" t="inlineStr">
        <is>
          <t>2026-08-01 or 2026-08-02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WACC</t>
        </is>
      </c>
      <c r="B1" t="n">
        <v>0.1</v>
      </c>
    </row>
    <row r="2">
      <c r="A2" t="inlineStr">
        <is>
          <t>Free cash flow</t>
        </is>
      </c>
      <c r="B2" t="n">
        <v>100</v>
      </c>
    </row>
    <row r="3">
      <c r="A3" t="inlineStr">
        <is>
          <t>Terminal value</t>
        </is>
      </c>
      <c r="B3" t="n">
        <v>1000</v>
      </c>
    </row>
    <row r="4">
      <c r="A4" t="inlineStr">
        <is>
          <t>DCF value</t>
        </is>
      </c>
      <c r="B4">
        <f>B2/B1+B3</f>
        <v/>
      </c>
    </row>
    <row r="5">
      <c r="A5" t="inlineStr">
        <is>
          <t>Equity value</t>
        </is>
      </c>
      <c r="B5">
        <f>B4-100</f>
        <v/>
      </c>
    </row>
    <row r="6">
      <c r="A6" t="inlineStr">
        <is>
          <t>Diluted shares</t>
        </is>
      </c>
      <c r="B6" t="n">
        <v>10</v>
      </c>
    </row>
    <row r="7">
      <c r="A7" t="inlineStr">
        <is>
          <t>Per share value</t>
        </is>
      </c>
      <c r="B7" s="2">
        <f>B5/B6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A</t>
        </is>
      </c>
      <c r="B1" t="n">
        <v>500</v>
      </c>
    </row>
    <row r="2">
      <c r="A2" t="inlineStr">
        <is>
          <t>Segment B</t>
        </is>
      </c>
      <c r="B2" t="n">
        <v>700</v>
      </c>
    </row>
    <row r="3">
      <c r="A3" t="inlineStr">
        <is>
          <t>SOTP value</t>
        </is>
      </c>
      <c r="B3">
        <f>SUM(B1:B2)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 Price</t>
        </is>
      </c>
      <c r="B1" s="2">
        <f>125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2026-09-06T19:21:56Z</dcterms:modified>
</cp:coreProperties>
</file>